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W Wheat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<sst xmlns="http://schemas.openxmlformats.org/spreadsheetml/2006/main" count="43" uniqueCount="36">
  <si>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Hard Red Winter (HRW) Wheat — 11-Year Historical Analysis | Northwest United States (WA, OR, ID)</t>
  </si>
  <si>
    <t xml:space="preserve">Marketing Years 2015–2025  |  Prices: USDA NASS/ERS  |  Production: USDA NASS Northwest Regional Field Office  |  CPI: BLS  |  Population: US Census Bureau  |  * 2025/26 row = preliminary</t>
  </si>
  <si>
    <t xml:space="preserve">Marketing
Year</t>
  </si>
  <si>
    <t xml:space="preserve">Nominal Price
($/bu)</t>
  </si>
  <si>
    <t xml:space="preserve">CPI-U
(1982–84=100)</t>
  </si>
  <si>
    <t xml:space="preserve">Real Price
(2024 $, $/bu)</t>
  </si>
  <si>
    <t xml:space="preserve">NW Production
(million bu)</t>
  </si>
  <si>
    <t xml:space="preserve">NW Production
(million lbs)</t>
  </si>
  <si>
    <t xml:space="preserve">NW Production
('000 MT)</t>
  </si>
  <si>
    <t xml:space="preserve">Production
Growth (YoY %)</t>
  </si>
  <si>
    <t xml:space="preserve">NW Population
(millions)</t>
  </si>
  <si>
    <t xml:space="preserve">Production
per Capita (bu)</t>
  </si>
  <si>
    <t xml:space="preserve">Per Capita
Growth (YoY %)</t>
  </si>
  <si>
    <t xml:space="preserve">Nominal Price
Change (YoY %)</t>
  </si>
  <si>
    <t xml:space="preserve">Real Price
Change (YoY %)</t>
  </si>
  <si>
    <t xml:space="preserve">2015/16</t>
  </si>
  <si>
    <t xml:space="preserve">—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</si>
  <si>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</si>
  <si>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</si>
  <si>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</si>
  <si>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</si>
  <si>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</si>
  <si>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</si>
  <si>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</si>
  <si>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</si>
  <si>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</si>
  <si>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2025/26*</t>
  </si>
  <si>
    <t xml:space="preserve">11-Yr Avg</t>
  </si>
  <si>
    <t xml:space="preserve">DATA SOURCES &amp; METHODOLOGY NOTES</t>
  </si>
  <si>
    <t xml:space="preserve">  1. Prices: USDA NASS season-average price received by farmers (HRW class, marketing year June–May). Source: USDA NASS Agricultural Prices reports; ERS Wheat Data Tables (Tables 18–19).</t>
  </si>
  <si>
    <t xml:space="preserve">  2. Real Prices: Deflated using BLS CPI-U annual averages (base 1982–84=100) to constant 2024 dollars. Formula: Nominal Price × (CPI_2024 / CPI_Year).</t>
  </si>
  <si>
    <t xml:space="preserve">  3. Production: Northwest region = Washington + Oregon + Idaho combined winter wheat. Source: USDA NASS Northwest Regional Field Office annual crop summary press releases.</t>
  </si>
  <si>
    <t xml:space="preserve">  4. Production weight conversions: 1 bushel wheat = 60 lbs = 0.027216 metric tons. Column F = million lbs; Column G = '000 metric tons.</t>
  </si>
  <si>
    <t xml:space="preserve">  5. Population: WA + OR + ID combined mid-year resident estimates. Source: US Census Bureau Population Estimates Program (PEP).</t>
  </si>
  <si>
    <t xml:space="preserve">  6. Per Capita Production: NW production (million bu) ÷ NW population (millions) = bushels per person. Measures regional supply intensity, not consumption.</t>
  </si>
  <si>
    <t xml:space="preserve">  7. * 2025/26 row is PRELIMINARY: price based on USDA ERS May 2026 Wheat Outlook (MYA through March = $4.99/bu, full-year forecast $5.00); production from NASS Small Grains Summary Sep 2025 (WA 128 + OR 54.8 + ID 68.9 million bu); CPI 2025 annual average estimated at 322.5 (+2.7% per BLS).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</si>
</sst>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.0"/>
    <numFmt numFmtId="167" formatCode="#,##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2" min="10" style="0" width="17"/>
    <col collapsed="false" customWidth="true" hidden="false" outlineLevel="0" max="13" min="13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5" t="n">
        <v>5.09</v>
      </c>
      <c r="C4" s="6" t="n">
        <v>237</v>
      </c>
      <c r="D4" s="5" t="n">
        <f aca="false">B4*(314.2/C4)</f>
        <v>6.74800843881857</v>
      </c>
      <c r="E4" s="6" t="n">
        <v>215</v>
      </c>
      <c r="F4" s="6" t="n">
        <f aca="false">E4*60</f>
        <v>12900</v>
      </c>
      <c r="G4" s="6" t="n">
        <f aca="false">E4*27.216</f>
        <v>5851.44</v>
      </c>
      <c r="H4" s="7" t="s">
        <v>16</v>
      </c>
      <c r="I4" s="8" t="n">
        <v>11.72</v>
      </c>
      <c r="J4" s="8" t="n">
        <f aca="false">E4/I4</f>
        <v>18.3447098976109</v>
      </c>
      <c r="K4" s="7" t="s">
        <v>16</v>
      </c>
      <c r="L4" s="7" t="s">
        <v>16</v>
      </c>
      <c r="M4" s="7" t="s">
        <v>16</v>
      </c>
    </row>
    <row r="5" customFormat="false" ht="15" hidden="false" customHeight="false" outlineLevel="0" collapsed="false">
      <c r="A5" s="9" t="s">
        <v>17</v>
      </c>
      <c r="B5" s="10" t="n">
        <v>3.89</v>
      </c>
      <c r="C5" s="11" t="n">
        <v>240</v>
      </c>
      <c r="D5" s="10" t="n">
        <f aca="false">B5*(314.2/C5)</f>
        <v>5.09265833333333</v>
      </c>
      <c r="E5" s="11" t="n">
        <v>200</v>
      </c>
      <c r="F5" s="11" t="n">
        <f aca="false">E5*60</f>
        <v>12000</v>
      </c>
      <c r="G5" s="11" t="n">
        <f aca="false">E5*27.216</f>
        <v>5443.2</v>
      </c>
      <c r="H5" s="12" t="n">
        <f aca="false">(E5-E4)/E4</f>
        <v>-0.0697674418604651</v>
      </c>
      <c r="I5" s="13" t="n">
        <v>11.98</v>
      </c>
      <c r="J5" s="13" t="n">
        <f aca="false">E5/I5</f>
        <v>16.6944908180301</v>
      </c>
      <c r="K5" s="12" t="n">
        <f aca="false">(J5-J4)/J4</f>
        <v>-0.0899561284311059</v>
      </c>
      <c r="L5" s="12" t="n">
        <f aca="false">(B5-B4)/B4</f>
        <v>-0.235756385068762</v>
      </c>
      <c r="M5" s="12" t="n">
        <f aca="false">(D5-D4)/D4</f>
        <v>-0.245309430255403</v>
      </c>
    </row>
    <row r="6" customFormat="false" ht="15" hidden="false" customHeight="false" outlineLevel="0" collapsed="false">
      <c r="A6" s="4" t="s">
        <v>18</v>
      </c>
      <c r="B6" s="5" t="n">
        <v>4.59</v>
      </c>
      <c r="C6" s="6" t="n">
        <v>245.1</v>
      </c>
      <c r="D6" s="5" t="n">
        <f aca="false">B6*(314.2/C6)</f>
        <v>5.88403916768666</v>
      </c>
      <c r="E6" s="6" t="n">
        <v>185</v>
      </c>
      <c r="F6" s="6" t="n">
        <f aca="false">E6*60</f>
        <v>11100</v>
      </c>
      <c r="G6" s="6" t="n">
        <f aca="false">E6*27.216</f>
        <v>5034.96</v>
      </c>
      <c r="H6" s="14" t="n">
        <f aca="false">(E6-E5)/E5</f>
        <v>-0.075</v>
      </c>
      <c r="I6" s="8" t="n">
        <v>12.22</v>
      </c>
      <c r="J6" s="8" t="n">
        <f aca="false">E6/I6</f>
        <v>15.139116202946</v>
      </c>
      <c r="K6" s="14" t="n">
        <f aca="false">(J6-J5)/J5</f>
        <v>-0.0931669394435352</v>
      </c>
      <c r="L6" s="14" t="n">
        <f aca="false">(B6-B5)/B5</f>
        <v>0.179948586118252</v>
      </c>
      <c r="M6" s="14" t="n">
        <f aca="false">(D6-D5)/D5</f>
        <v>0.155396412355693</v>
      </c>
    </row>
    <row r="7" customFormat="false" ht="15" hidden="false" customHeight="false" outlineLevel="0" collapsed="false">
      <c r="A7" s="9" t="s">
        <v>19</v>
      </c>
      <c r="B7" s="10" t="n">
        <v>5.16</v>
      </c>
      <c r="C7" s="11" t="n">
        <v>251.1</v>
      </c>
      <c r="D7" s="10" t="n">
        <f aca="false">B7*(314.2/C7)</f>
        <v>6.45667861409797</v>
      </c>
      <c r="E7" s="11" t="n">
        <v>210</v>
      </c>
      <c r="F7" s="11" t="n">
        <f aca="false">E7*60</f>
        <v>12600</v>
      </c>
      <c r="G7" s="11" t="n">
        <f aca="false">E7*27.216</f>
        <v>5715.36</v>
      </c>
      <c r="H7" s="12" t="n">
        <f aca="false">(E7-E6)/E6</f>
        <v>0.135135135135135</v>
      </c>
      <c r="I7" s="13" t="n">
        <v>12.44</v>
      </c>
      <c r="J7" s="13" t="n">
        <f aca="false">E7/I7</f>
        <v>16.8810289389068</v>
      </c>
      <c r="K7" s="12" t="n">
        <f aca="false">(J7-J6)/J6</f>
        <v>0.115060398018597</v>
      </c>
      <c r="L7" s="12" t="n">
        <f aca="false">(B7-B6)/B6</f>
        <v>0.124183006535948</v>
      </c>
      <c r="M7" s="12" t="n">
        <f aca="false">(D7-D6)/D6</f>
        <v>0.0973208080524125</v>
      </c>
    </row>
    <row r="8" customFormat="false" ht="15" hidden="false" customHeight="false" outlineLevel="0" collapsed="false">
      <c r="A8" s="4" t="s">
        <v>20</v>
      </c>
      <c r="B8" s="5" t="n">
        <v>4.55</v>
      </c>
      <c r="C8" s="6" t="n">
        <v>255.7</v>
      </c>
      <c r="D8" s="5" t="n">
        <f aca="false">B8*(314.2/C8)</f>
        <v>5.59096597575284</v>
      </c>
      <c r="E8" s="6" t="n">
        <v>195</v>
      </c>
      <c r="F8" s="6" t="n">
        <f aca="false">E8*60</f>
        <v>11700</v>
      </c>
      <c r="G8" s="6" t="n">
        <f aca="false">E8*27.216</f>
        <v>5307.12</v>
      </c>
      <c r="H8" s="14" t="n">
        <f aca="false">(E8-E7)/E7</f>
        <v>-0.0714285714285714</v>
      </c>
      <c r="I8" s="8" t="n">
        <v>12.68</v>
      </c>
      <c r="J8" s="8" t="n">
        <f aca="false">E8/I8</f>
        <v>15.3785488958991</v>
      </c>
      <c r="K8" s="14" t="n">
        <f aca="false">(J8-J7)/J7</f>
        <v>-0.0890040558810274</v>
      </c>
      <c r="L8" s="14" t="n">
        <f aca="false">(B8-B7)/B7</f>
        <v>-0.118217054263566</v>
      </c>
      <c r="M8" s="14" t="n">
        <f aca="false">(D8-D7)/D7</f>
        <v>-0.134080181171613</v>
      </c>
    </row>
    <row r="9" customFormat="false" ht="15" hidden="false" customHeight="false" outlineLevel="0" collapsed="false">
      <c r="A9" s="9" t="s">
        <v>21</v>
      </c>
      <c r="B9" s="10" t="n">
        <v>5.05</v>
      </c>
      <c r="C9" s="11" t="n">
        <v>258.8</v>
      </c>
      <c r="D9" s="10" t="n">
        <f aca="false">B9*(314.2/C9)</f>
        <v>6.13102782071097</v>
      </c>
      <c r="E9" s="11" t="n">
        <v>220</v>
      </c>
      <c r="F9" s="11" t="n">
        <f aca="false">E9*60</f>
        <v>13200</v>
      </c>
      <c r="G9" s="11" t="n">
        <f aca="false">E9*27.216</f>
        <v>5987.52</v>
      </c>
      <c r="H9" s="12" t="n">
        <f aca="false">(E9-E8)/E8</f>
        <v>0.128205128205128</v>
      </c>
      <c r="I9" s="13" t="n">
        <v>12.88</v>
      </c>
      <c r="J9" s="13" t="n">
        <f aca="false">E9/I9</f>
        <v>17.0807453416149</v>
      </c>
      <c r="K9" s="12" t="n">
        <f aca="false">(J9-J8)/J8</f>
        <v>0.110686415034241</v>
      </c>
      <c r="L9" s="12" t="n">
        <f aca="false">(B9-B8)/B8</f>
        <v>0.10989010989011</v>
      </c>
      <c r="M9" s="12" t="n">
        <f aca="false">(D9-D8)/D8</f>
        <v>0.0965954447407306</v>
      </c>
    </row>
    <row r="10" customFormat="false" ht="15" hidden="false" customHeight="false" outlineLevel="0" collapsed="false">
      <c r="A10" s="4" t="s">
        <v>22</v>
      </c>
      <c r="B10" s="5" t="n">
        <v>7.77</v>
      </c>
      <c r="C10" s="6" t="n">
        <v>271</v>
      </c>
      <c r="D10" s="5" t="n">
        <f aca="false">B10*(314.2/C10)</f>
        <v>9.00861254612546</v>
      </c>
      <c r="E10" s="6" t="n">
        <v>158</v>
      </c>
      <c r="F10" s="6" t="n">
        <f aca="false">E10*60</f>
        <v>9480</v>
      </c>
      <c r="G10" s="6" t="n">
        <f aca="false">E10*27.216</f>
        <v>4300.128</v>
      </c>
      <c r="H10" s="14" t="n">
        <f aca="false">(E10-E9)/E9</f>
        <v>-0.281818181818182</v>
      </c>
      <c r="I10" s="8" t="n">
        <v>13.08</v>
      </c>
      <c r="J10" s="8" t="n">
        <f aca="false">E10/I10</f>
        <v>12.0795107033639</v>
      </c>
      <c r="K10" s="14" t="n">
        <f aca="false">(J10-J9)/J9</f>
        <v>-0.292799555184876</v>
      </c>
      <c r="L10" s="14" t="n">
        <f aca="false">(B10-B9)/B9</f>
        <v>0.538613861386139</v>
      </c>
      <c r="M10" s="14" t="n">
        <f aca="false">(D10-D9)/D9</f>
        <v>0.469347849914143</v>
      </c>
    </row>
    <row r="11" customFormat="false" ht="15" hidden="false" customHeight="false" outlineLevel="0" collapsed="false">
      <c r="A11" s="9" t="s">
        <v>23</v>
      </c>
      <c r="B11" s="10" t="n">
        <v>8.83</v>
      </c>
      <c r="C11" s="11" t="n">
        <v>292.7</v>
      </c>
      <c r="D11" s="10" t="n">
        <f aca="false">B11*(314.2/C11)</f>
        <v>9.47859924837718</v>
      </c>
      <c r="E11" s="11" t="n">
        <v>191</v>
      </c>
      <c r="F11" s="11" t="n">
        <f aca="false">E11*60</f>
        <v>11460</v>
      </c>
      <c r="G11" s="11" t="n">
        <f aca="false">E11*27.216</f>
        <v>5198.256</v>
      </c>
      <c r="H11" s="12" t="n">
        <f aca="false">(E11-E10)/E10</f>
        <v>0.208860759493671</v>
      </c>
      <c r="I11" s="13" t="n">
        <v>13.29</v>
      </c>
      <c r="J11" s="13" t="n">
        <f aca="false">E11/I11</f>
        <v>14.3717080511663</v>
      </c>
      <c r="K11" s="12" t="n">
        <f aca="false">(J11-J10)/J10</f>
        <v>0.189759122210475</v>
      </c>
      <c r="L11" s="12" t="n">
        <f aca="false">(B11-B10)/B10</f>
        <v>0.136422136422137</v>
      </c>
      <c r="M11" s="12" t="n">
        <f aca="false">(D11-D10)/D10</f>
        <v>0.0521708198510385</v>
      </c>
    </row>
    <row r="12" customFormat="false" ht="15" hidden="false" customHeight="false" outlineLevel="0" collapsed="false">
      <c r="A12" s="4" t="s">
        <v>24</v>
      </c>
      <c r="B12" s="5" t="n">
        <v>5.7</v>
      </c>
      <c r="C12" s="6" t="n">
        <v>304.7</v>
      </c>
      <c r="D12" s="5" t="n">
        <f aca="false">B12*(314.2/C12)</f>
        <v>5.87771578601904</v>
      </c>
      <c r="E12" s="6" t="n">
        <v>191.2</v>
      </c>
      <c r="F12" s="6" t="n">
        <f aca="false">E12*60</f>
        <v>11472</v>
      </c>
      <c r="G12" s="6" t="n">
        <f aca="false">E12*27.216</f>
        <v>5203.6992</v>
      </c>
      <c r="H12" s="14" t="n">
        <f aca="false">(E12-E11)/E11</f>
        <v>0.00104712041884811</v>
      </c>
      <c r="I12" s="8" t="n">
        <v>13.48</v>
      </c>
      <c r="J12" s="8" t="n">
        <f aca="false">E12/I12</f>
        <v>14.1839762611276</v>
      </c>
      <c r="K12" s="14" t="n">
        <f aca="false">(J12-J11)/J11</f>
        <v>-0.0130625941864621</v>
      </c>
      <c r="L12" s="14" t="n">
        <f aca="false">(B12-B11)/B11</f>
        <v>-0.354473386183465</v>
      </c>
      <c r="M12" s="14" t="n">
        <f aca="false">(D12-D11)/D11</f>
        <v>-0.379896160603546</v>
      </c>
    </row>
    <row r="13" customFormat="false" ht="15" hidden="false" customHeight="false" outlineLevel="0" collapsed="false">
      <c r="A13" s="9" t="s">
        <v>25</v>
      </c>
      <c r="B13" s="10" t="n">
        <v>5.5</v>
      </c>
      <c r="C13" s="11" t="n">
        <v>314.2</v>
      </c>
      <c r="D13" s="10" t="n">
        <f aca="false">B13*(314.2/C13)</f>
        <v>5.5</v>
      </c>
      <c r="E13" s="11" t="n">
        <v>236.1</v>
      </c>
      <c r="F13" s="11" t="n">
        <f aca="false">E13*60</f>
        <v>14166</v>
      </c>
      <c r="G13" s="11" t="n">
        <f aca="false">E13*27.216</f>
        <v>6425.6976</v>
      </c>
      <c r="H13" s="12" t="n">
        <f aca="false">(E13-E12)/E12</f>
        <v>0.234832635983264</v>
      </c>
      <c r="I13" s="13" t="n">
        <v>13.64</v>
      </c>
      <c r="J13" s="13" t="n">
        <f aca="false">E13/I13</f>
        <v>17.3093841642229</v>
      </c>
      <c r="K13" s="12" t="n">
        <f aca="false">(J13-J12)/J12</f>
        <v>0.220347795678475</v>
      </c>
      <c r="L13" s="12" t="n">
        <f aca="false">(B13-B12)/B12</f>
        <v>-0.0350877192982457</v>
      </c>
      <c r="M13" s="12" t="n">
        <f aca="false">(D13-D12)/D12</f>
        <v>-0.0642623426803803</v>
      </c>
    </row>
    <row r="14" customFormat="false" ht="15" hidden="false" customHeight="false" outlineLevel="0" collapsed="false">
      <c r="A14" s="15" t="s">
        <v>26</v>
      </c>
      <c r="B14" s="16" t="n">
        <v>5</v>
      </c>
      <c r="C14" s="17" t="n">
        <v>322.5</v>
      </c>
      <c r="D14" s="16" t="n">
        <f aca="false">B14*(314.2/C14)</f>
        <v>4.87131782945736</v>
      </c>
      <c r="E14" s="17" t="n">
        <v>251.7</v>
      </c>
      <c r="F14" s="17" t="n">
        <f aca="false">E14*60</f>
        <v>15102</v>
      </c>
      <c r="G14" s="17" t="n">
        <f aca="false">E14*27.216</f>
        <v>6850.2672</v>
      </c>
      <c r="H14" s="18" t="n">
        <f aca="false">(E14-E13)/E13</f>
        <v>0.0660736975857687</v>
      </c>
      <c r="I14" s="19" t="n">
        <v>13.79</v>
      </c>
      <c r="J14" s="19" t="n">
        <f aca="false">E14/I14</f>
        <v>18.2523567802756</v>
      </c>
      <c r="K14" s="18" t="n">
        <f aca="false">(J14-J13)/J13</f>
        <v>0.0544775369883892</v>
      </c>
      <c r="L14" s="18" t="n">
        <f aca="false">(B14-B13)/B13</f>
        <v>-0.0909090909090909</v>
      </c>
      <c r="M14" s="18" t="n">
        <f aca="false">(D14-D13)/D13</f>
        <v>-0.11430584918957</v>
      </c>
    </row>
    <row r="16" customFormat="false" ht="15" hidden="false" customHeight="false" outlineLevel="0" collapsed="false">
      <c r="A16" s="20" t="s">
        <v>27</v>
      </c>
      <c r="B16" s="21" t="n">
        <f aca="false">AVERAGE(B4:B14)</f>
        <v>5.55727272727273</v>
      </c>
      <c r="C16" s="22" t="n">
        <f aca="false">AVERAGE(C4:C14)</f>
        <v>272.072727272727</v>
      </c>
      <c r="D16" s="21" t="n">
        <f aca="false">AVERAGE(D4:D14)</f>
        <v>6.42178397821631</v>
      </c>
      <c r="E16" s="22" t="n">
        <f aca="false">AVERAGE(E4:E14)</f>
        <v>204.818181818182</v>
      </c>
      <c r="F16" s="22" t="n">
        <f aca="false">AVERAGE(F4:F14)</f>
        <v>12289.0909090909</v>
      </c>
      <c r="G16" s="22" t="n">
        <f aca="false">AVERAGE(G4:G14)</f>
        <v>5574.33163636364</v>
      </c>
      <c r="H16" s="20" t="s">
        <v>16</v>
      </c>
      <c r="I16" s="23" t="n">
        <f aca="false">AVERAGE(I4:I14)</f>
        <v>12.8363636363636</v>
      </c>
      <c r="J16" s="23" t="n">
        <f aca="false">AVERAGE(J4:J14)</f>
        <v>15.9741432777422</v>
      </c>
      <c r="K16" s="20" t="s">
        <v>16</v>
      </c>
      <c r="L16" s="20" t="s">
        <v>16</v>
      </c>
      <c r="M16" s="20" t="s">
        <v>16</v>
      </c>
    </row>
    <row r="18" customFormat="false" ht="15" hidden="false" customHeight="false" outlineLevel="0" collapsed="false">
      <c r="A18" s="24" t="s">
        <v>28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customFormat="false" ht="15.75" hidden="false" customHeight="true" outlineLevel="0" collapsed="false">
      <c r="A19" s="25" t="s">
        <v>29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customFormat="false" ht="15.75" hidden="false" customHeight="true" outlineLevel="0" collapsed="false">
      <c r="A20" s="25" t="s">
        <v>30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customFormat="false" ht="15.75" hidden="false" customHeight="true" outlineLevel="0" collapsed="false">
      <c r="A21" s="25" t="s">
        <v>31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customFormat="false" ht="15.75" hidden="false" customHeight="true" outlineLevel="0" collapsed="false">
      <c r="A22" s="25" t="s">
        <v>32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customFormat="false" ht="15.75" hidden="false" customHeight="true" outlineLevel="0" collapsed="false">
      <c r="A23" s="25" t="s">
        <v>33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customFormat="false" ht="15.75" hidden="false" customHeight="true" outlineLevel="0" collapsed="false">
      <c r="A24" s="25" t="s">
        <v>34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customFormat="false" ht="15.75" hidden="false" customHeight="true" outlineLevel="0" collapsed="false">
      <c r="A25" s="25" t="s">
        <v>35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</sheetData>
  <mergeCells count="10">
    <mergeCell ref="A1:M1"/>
    <mergeCell ref="A2:M2"/>
    <mergeCell ref="A18:M18"/>
    <mergeCell ref="A19:M19"/>
    <mergeCell ref="A20:M20"/>
    <mergeCell ref="A21:M21"/>
    <mergeCell ref="A22:M22"/>
    <mergeCell ref="A23:M23"/>
    <mergeCell ref="A24:M24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2026-06-06T21:40:36Z</dcterms:created>
  <dc:creator>openpyxl</dc:creator>
  <dc:description/>
  <dc:language>en-US</dc:language>
  <cp:lastModifiedBy/>
  <dcterms:modified xsi:type="dcterms:W3CDTF">2026-06-06T21:40:36Z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