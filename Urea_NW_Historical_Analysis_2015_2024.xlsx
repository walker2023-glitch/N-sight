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ea Historical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<sst xmlns="http://schemas.openxmlformats.org/spreadsheetml/2006/main" count="32" uniqueCount="29">
  <si>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UREA — 10-YEAR HISTORICAL ANALYSIS  |  NORTHWEST UNITED STATES (OR · WA · ID)  |  2015–2024</t>
  </si>
  <si>
    <t xml:space="preserve">Prices: World Bank Black Sea benchmark (annual avg of monthly spot, nominal USD/mt). Real prices deflated to 2024 USD using US CPI (BLS). Consumption: NW states (OR+WA+ID) estimated from USDA ERS &amp; IFA data (~6.8% of US total). Population: US Census estimates.</t>
  </si>
  <si>
    <t xml:space="preserve">Year</t>
  </si>
  <si>
    <t xml:space="preserve">Nominal Price
(USD/mt)</t>
  </si>
  <si>
    <t xml:space="preserve">Real Price
(2024 USD/mt)</t>
  </si>
  <si>
    <t xml:space="preserve">Real Price
YoY Change (%)</t>
  </si>
  <si>
    <t xml:space="preserve">NW Population
(persons)</t>
  </si>
  <si>
    <t xml:space="preserve">Consumption
in Weight (mt)</t>
  </si>
  <si>
    <t xml:space="preserve">Consumption
YoY Growth (%)</t>
  </si>
  <si>
    <t xml:space="preserve">Consumption
Per Capita (mt/person)</t>
  </si>
  <si>
    <t xml:space="preserve">Per Capita
YoY Growth (%)</t>
  </si>
  <si>
    <t xml:space="preserve">Nominal Price
YoY Change (%)</t>
  </si>
  <si>
    <t xml:space="preserve">CPI
(2024=100)</t>
  </si>
  <si>
    <t xml:space="preserve">Notes</t>
  </si>
  <si>
    <t xml:space="preserve">—</t>
  </si>
  <si>
    <t xml:space="preserve">Prices pressured by global oversupply; China export surge</t>
  </si>
  <si>
    <t xml:space="preserve">Multi-year price trough; natural gas prices low</t>
  </si>
  <si>
    <t xml:space="preserve">Gradual recovery; China export quotas tightened</t>
  </si>
  <si>
    <t xml:space="preserve">Moderate rebound; US natural gas prices rise</t>
  </si>
  <si>
    <t xml:space="preserve">Stable but subdued; trade uncertainty weighs on ag</t>
  </si>
  <si>
    <t xml:space="preserve">COVID-19 disrupts logistics; prices dip mid-year</t>
  </si>
  <si>
    <t xml:space="preserve">Sharp rally: energy spike + supply disruptions post-COVID</t>
  </si>
  <si>
    <t xml:space="preserve">Record prices; Russia-Ukraine war disrupts N supply</t>
  </si>
  <si>
    <t xml:space="preserve">Price correction from 2022 highs; supply normalising</t>
  </si>
  <si>
    <t xml:space="preserve">Further softening; demand stable, oversupply risk eases</t>
  </si>
  <si>
    <t xml:space="preserve">AVERAGES</t>
  </si>
  <si>
    <t xml:space="preserve">MIN</t>
  </si>
  <si>
    <t xml:space="preserve">MAX</t>
  </si>
  <si>
    <t xml:space="preserve">SOURCES &amp; METHODOLOGY  |  Price: World Bank Pink Sheet / Black Sea FOB benchmark (annual avg of 12 monthly spot prices), nominal USD/metric ton.  Real price: deflated using US BLS CPI (2024=100 base year).  NW Consumption: OR+WA+ID aggregate; estimated at ~6.8% of total US urea product consumption (derived from USDA ERS Fertilizer Use &amp; Price tables and IFA data; urea ≈ 36% of US N fertilizer).  Population: US Census Bureau annual state estimates (OR+WA+ID).  Per capita: metric tonnes of urea per person in the NW three-state region.  Note: Consumption figures are estimates; state-level urea-specific data discontinued by USDA after 2015.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</si>
</sst>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000"/>
    <numFmt numFmtId="168" formatCode="0.0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94A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7FC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D6E4F0"/>
        <bgColor rgb="FFEBF3FB"/>
      </patternFill>
    </fill>
    <fill>
      <patternFill patternType="solid">
        <fgColor rgb="FFFFF2CC"/>
        <bgColor rgb="FFF2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94A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1" min="11" style="0" width="13"/>
    <col collapsed="false" customWidth="true" hidden="false" outlineLevel="0" max="12" min="12" style="0" width="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8" hidden="false" customHeight="true" outlineLevel="0" collapsed="false">
      <c r="A5" s="4" t="n">
        <v>2015</v>
      </c>
      <c r="B5" s="5" t="n">
        <v>277.94</v>
      </c>
      <c r="C5" s="5" t="n">
        <v>360.03</v>
      </c>
      <c r="D5" s="6" t="s">
        <v>14</v>
      </c>
      <c r="E5" s="7" t="n">
        <v>11460</v>
      </c>
      <c r="F5" s="7" t="n">
        <v>1210000</v>
      </c>
      <c r="G5" s="6" t="s">
        <v>14</v>
      </c>
      <c r="H5" s="8" t="n">
        <f aca="false">F5/E5</f>
        <v>105.584642233857</v>
      </c>
      <c r="I5" s="6" t="s">
        <v>14</v>
      </c>
      <c r="J5" s="6" t="s">
        <v>14</v>
      </c>
      <c r="K5" s="9" t="n">
        <v>77.2</v>
      </c>
      <c r="L5" s="10" t="s">
        <v>15</v>
      </c>
    </row>
    <row r="6" customFormat="false" ht="18" hidden="false" customHeight="true" outlineLevel="0" collapsed="false">
      <c r="A6" s="11" t="n">
        <v>2016</v>
      </c>
      <c r="B6" s="12" t="n">
        <v>194.13</v>
      </c>
      <c r="C6" s="12" t="n">
        <v>247.3</v>
      </c>
      <c r="D6" s="13" t="n">
        <f aca="false">(C6-C5)/C5</f>
        <v>-0.313112796155876</v>
      </c>
      <c r="E6" s="14" t="n">
        <v>11640</v>
      </c>
      <c r="F6" s="14" t="n">
        <v>1195000</v>
      </c>
      <c r="G6" s="13" t="n">
        <f aca="false">(F6-F5)/F5</f>
        <v>-0.012396694214876</v>
      </c>
      <c r="H6" s="15" t="n">
        <f aca="false">F6/E6</f>
        <v>102.66323024055</v>
      </c>
      <c r="I6" s="13" t="n">
        <f aca="false">(H6-H5)/H5</f>
        <v>-0.0276689102837182</v>
      </c>
      <c r="J6" s="13" t="n">
        <f aca="false">(B6-B5)/B5</f>
        <v>-0.301539900697992</v>
      </c>
      <c r="K6" s="16" t="n">
        <v>78.5</v>
      </c>
      <c r="L6" s="17" t="s">
        <v>16</v>
      </c>
    </row>
    <row r="7" customFormat="false" ht="18" hidden="false" customHeight="true" outlineLevel="0" collapsed="false">
      <c r="A7" s="4" t="n">
        <v>2017</v>
      </c>
      <c r="B7" s="5" t="n">
        <v>213.88</v>
      </c>
      <c r="C7" s="5" t="n">
        <v>267.02</v>
      </c>
      <c r="D7" s="18" t="n">
        <f aca="false">(C7-C6)/C6</f>
        <v>0.0797412050141527</v>
      </c>
      <c r="E7" s="7" t="n">
        <v>11820</v>
      </c>
      <c r="F7" s="7" t="n">
        <v>1180000</v>
      </c>
      <c r="G7" s="18" t="n">
        <f aca="false">(F7-F6)/F6</f>
        <v>-0.0125523012552301</v>
      </c>
      <c r="H7" s="8" t="n">
        <f aca="false">F7/E7</f>
        <v>99.8307952622673</v>
      </c>
      <c r="I7" s="18" t="n">
        <f aca="false">(H7-H6)/H6</f>
        <v>-0.0275895758554042</v>
      </c>
      <c r="J7" s="18" t="n">
        <f aca="false">(B7-B6)/B6</f>
        <v>0.101735950136506</v>
      </c>
      <c r="K7" s="9" t="n">
        <v>80.1</v>
      </c>
      <c r="L7" s="10" t="s">
        <v>17</v>
      </c>
    </row>
    <row r="8" customFormat="false" ht="18" hidden="false" customHeight="true" outlineLevel="0" collapsed="false">
      <c r="A8" s="11" t="n">
        <v>2018</v>
      </c>
      <c r="B8" s="12" t="n">
        <v>249.45</v>
      </c>
      <c r="C8" s="12" t="n">
        <v>302.73</v>
      </c>
      <c r="D8" s="13" t="n">
        <f aca="false">(C8-C7)/C7</f>
        <v>0.133735300726537</v>
      </c>
      <c r="E8" s="14" t="n">
        <v>12005</v>
      </c>
      <c r="F8" s="14" t="n">
        <v>1220000</v>
      </c>
      <c r="G8" s="13" t="n">
        <f aca="false">(F8-F7)/F7</f>
        <v>0.0338983050847458</v>
      </c>
      <c r="H8" s="15" t="n">
        <f aca="false">F8/E8</f>
        <v>101.624323198667</v>
      </c>
      <c r="I8" s="13" t="n">
        <f aca="false">(H8-H7)/H7</f>
        <v>0.0179656781425819</v>
      </c>
      <c r="J8" s="13" t="n">
        <f aca="false">(B8-B7)/B7</f>
        <v>0.166308210211333</v>
      </c>
      <c r="K8" s="16" t="n">
        <v>82.4</v>
      </c>
      <c r="L8" s="17" t="s">
        <v>18</v>
      </c>
    </row>
    <row r="9" customFormat="false" ht="18" hidden="false" customHeight="true" outlineLevel="0" collapsed="false">
      <c r="A9" s="4" t="n">
        <v>2019</v>
      </c>
      <c r="B9" s="5" t="n">
        <v>245.28</v>
      </c>
      <c r="C9" s="5" t="n">
        <v>291.31</v>
      </c>
      <c r="D9" s="18" t="n">
        <f aca="false">(C9-C8)/C8</f>
        <v>-0.0377233838734186</v>
      </c>
      <c r="E9" s="7" t="n">
        <v>12195</v>
      </c>
      <c r="F9" s="7" t="n">
        <v>1235000</v>
      </c>
      <c r="G9" s="18" t="n">
        <f aca="false">(F9-F8)/F8</f>
        <v>0.0122950819672131</v>
      </c>
      <c r="H9" s="8" t="n">
        <f aca="false">F9/E9</f>
        <v>101.271012710127</v>
      </c>
      <c r="I9" s="18" t="n">
        <f aca="false">(H9-H8)/H8</f>
        <v>-0.00347663312698711</v>
      </c>
      <c r="J9" s="18" t="n">
        <f aca="false">(B9-B8)/B8</f>
        <v>-0.0167167769092002</v>
      </c>
      <c r="K9" s="9" t="n">
        <v>84.2</v>
      </c>
      <c r="L9" s="10" t="s">
        <v>19</v>
      </c>
    </row>
    <row r="10" customFormat="false" ht="18" hidden="false" customHeight="true" outlineLevel="0" collapsed="false">
      <c r="A10" s="11" t="n">
        <v>2020</v>
      </c>
      <c r="B10" s="12" t="n">
        <v>229.1</v>
      </c>
      <c r="C10" s="12" t="n">
        <v>268.58</v>
      </c>
      <c r="D10" s="13" t="n">
        <f aca="false">(C10-C9)/C9</f>
        <v>-0.0780268442552608</v>
      </c>
      <c r="E10" s="14" t="n">
        <v>12280</v>
      </c>
      <c r="F10" s="14" t="n">
        <v>1210000</v>
      </c>
      <c r="G10" s="13" t="n">
        <f aca="false">(F10-F9)/F9</f>
        <v>-0.0202429149797571</v>
      </c>
      <c r="H10" s="15" t="n">
        <f aca="false">F10/E10</f>
        <v>98.5342019543974</v>
      </c>
      <c r="I10" s="13" t="n">
        <f aca="false">(H10-H9)/H9</f>
        <v>-0.0270246211871448</v>
      </c>
      <c r="J10" s="13" t="n">
        <f aca="false">(B10-B9)/B9</f>
        <v>-0.0659654272667972</v>
      </c>
      <c r="K10" s="16" t="n">
        <v>85.3</v>
      </c>
      <c r="L10" s="17" t="s">
        <v>20</v>
      </c>
    </row>
    <row r="11" customFormat="false" ht="18" hidden="false" customHeight="true" outlineLevel="0" collapsed="false">
      <c r="A11" s="4" t="n">
        <v>2021</v>
      </c>
      <c r="B11" s="5" t="n">
        <v>483.21</v>
      </c>
      <c r="C11" s="5" t="n">
        <v>540.5</v>
      </c>
      <c r="D11" s="18" t="n">
        <f aca="false">(C11-C10)/C10</f>
        <v>1.01243577332638</v>
      </c>
      <c r="E11" s="7" t="n">
        <v>12380</v>
      </c>
      <c r="F11" s="7" t="n">
        <v>1260000</v>
      </c>
      <c r="G11" s="18" t="n">
        <f aca="false">(F11-F10)/F10</f>
        <v>0.0413223140495868</v>
      </c>
      <c r="H11" s="8" t="n">
        <f aca="false">F11/E11</f>
        <v>101.777059773829</v>
      </c>
      <c r="I11" s="18" t="n">
        <f aca="false">(H11-H10)/H10</f>
        <v>0.0329109867955514</v>
      </c>
      <c r="J11" s="18" t="n">
        <f aca="false">(B11-B10)/B10</f>
        <v>1.10916630292449</v>
      </c>
      <c r="K11" s="9" t="n">
        <v>89.4</v>
      </c>
      <c r="L11" s="10" t="s">
        <v>21</v>
      </c>
    </row>
    <row r="12" customFormat="false" ht="18" hidden="false" customHeight="true" outlineLevel="0" collapsed="false">
      <c r="A12" s="11" t="n">
        <v>2022</v>
      </c>
      <c r="B12" s="12" t="n">
        <v>700.01</v>
      </c>
      <c r="C12" s="12" t="n">
        <v>728.42</v>
      </c>
      <c r="D12" s="13" t="n">
        <f aca="false">(C12-C11)/C11</f>
        <v>0.347678075855689</v>
      </c>
      <c r="E12" s="14" t="n">
        <v>12490</v>
      </c>
      <c r="F12" s="14" t="n">
        <v>1140000</v>
      </c>
      <c r="G12" s="13" t="n">
        <f aca="false">(F12-F11)/F11</f>
        <v>-0.0952380952380952</v>
      </c>
      <c r="H12" s="15" t="n">
        <f aca="false">F12/E12</f>
        <v>91.2730184147318</v>
      </c>
      <c r="I12" s="13" t="n">
        <f aca="false">(H12-H11)/H11</f>
        <v>-0.103206374623508</v>
      </c>
      <c r="J12" s="13" t="n">
        <f aca="false">(B12-B11)/B11</f>
        <v>0.448666211378076</v>
      </c>
      <c r="K12" s="16" t="n">
        <v>96.1</v>
      </c>
      <c r="L12" s="17" t="s">
        <v>22</v>
      </c>
    </row>
    <row r="13" customFormat="false" ht="18" hidden="false" customHeight="true" outlineLevel="0" collapsed="false">
      <c r="A13" s="4" t="n">
        <v>2023</v>
      </c>
      <c r="B13" s="5" t="n">
        <v>358</v>
      </c>
      <c r="C13" s="5" t="n">
        <v>356.57</v>
      </c>
      <c r="D13" s="18" t="n">
        <f aca="false">(C13-C12)/C12</f>
        <v>-0.510488454463084</v>
      </c>
      <c r="E13" s="7" t="n">
        <v>12600</v>
      </c>
      <c r="F13" s="7" t="n">
        <v>1195000</v>
      </c>
      <c r="G13" s="18" t="n">
        <f aca="false">(F13-F12)/F12</f>
        <v>0.0482456140350877</v>
      </c>
      <c r="H13" s="8" t="n">
        <f aca="false">F13/E13</f>
        <v>94.8412698412698</v>
      </c>
      <c r="I13" s="18" t="n">
        <f aca="false">(H13-H12)/H12</f>
        <v>0.0390942634363687</v>
      </c>
      <c r="J13" s="18" t="n">
        <f aca="false">(B13-B12)/B12</f>
        <v>-0.488578734589506</v>
      </c>
      <c r="K13" s="9" t="n">
        <v>100.4</v>
      </c>
      <c r="L13" s="10" t="s">
        <v>23</v>
      </c>
    </row>
    <row r="14" customFormat="false" ht="18" hidden="false" customHeight="true" outlineLevel="0" collapsed="false">
      <c r="A14" s="11" t="n">
        <v>2024</v>
      </c>
      <c r="B14" s="12" t="n">
        <v>338.27</v>
      </c>
      <c r="C14" s="12" t="n">
        <v>338.27</v>
      </c>
      <c r="D14" s="13" t="n">
        <f aca="false">(C14-C13)/C13</f>
        <v>-0.0513223210028887</v>
      </c>
      <c r="E14" s="14" t="n">
        <v>12720</v>
      </c>
      <c r="F14" s="14" t="n">
        <v>1230000</v>
      </c>
      <c r="G14" s="13" t="n">
        <f aca="false">(F14-F13)/F13</f>
        <v>0.0292887029288703</v>
      </c>
      <c r="H14" s="15" t="n">
        <f aca="false">F14/E14</f>
        <v>96.6981132075472</v>
      </c>
      <c r="I14" s="13" t="n">
        <f aca="false">(H14-H13)/H13</f>
        <v>0.0195784321465225</v>
      </c>
      <c r="J14" s="13" t="n">
        <f aca="false">(B14-B13)/B13</f>
        <v>-0.0551117318435755</v>
      </c>
      <c r="K14" s="16" t="n">
        <v>100</v>
      </c>
      <c r="L14" s="17" t="s">
        <v>24</v>
      </c>
    </row>
    <row r="15" customFormat="false" ht="19.5" hidden="false" customHeight="true" outlineLevel="0" collapsed="false">
      <c r="A15" s="19" t="s">
        <v>25</v>
      </c>
      <c r="B15" s="20" t="n">
        <f aca="false">AVERAGE(B5:B14)</f>
        <v>328.927</v>
      </c>
      <c r="C15" s="20" t="n">
        <f aca="false">AVERAGE(C5:C14)</f>
        <v>370.073</v>
      </c>
      <c r="D15" s="21"/>
      <c r="E15" s="22" t="n">
        <f aca="false">AVERAGE(E5:E14)</f>
        <v>12159</v>
      </c>
      <c r="F15" s="22" t="n">
        <f aca="false">AVERAGE(F5:F14)</f>
        <v>1207500</v>
      </c>
      <c r="G15" s="21"/>
      <c r="H15" s="23" t="n">
        <f aca="false">AVERAGE(H5:H14)</f>
        <v>99.4097666837243</v>
      </c>
      <c r="I15" s="21"/>
      <c r="J15" s="21"/>
      <c r="K15" s="24" t="n">
        <f aca="false">AVERAGE(K5:K14)</f>
        <v>87.36</v>
      </c>
      <c r="L15" s="21"/>
    </row>
    <row r="16" customFormat="false" ht="19.5" hidden="false" customHeight="true" outlineLevel="0" collapsed="false">
      <c r="A16" s="19" t="s">
        <v>26</v>
      </c>
      <c r="B16" s="20" t="n">
        <f aca="false">MIN(B5:B14)</f>
        <v>194.13</v>
      </c>
      <c r="C16" s="20" t="n">
        <f aca="false">MIN(C5:C14)</f>
        <v>247.3</v>
      </c>
      <c r="D16" s="21"/>
      <c r="E16" s="22" t="n">
        <f aca="false">MIN(E5:E14)</f>
        <v>11460</v>
      </c>
      <c r="F16" s="22" t="n">
        <f aca="false">MIN(F5:F14)</f>
        <v>1140000</v>
      </c>
      <c r="G16" s="21"/>
      <c r="H16" s="23" t="n">
        <f aca="false">MIN(H5:H14)</f>
        <v>91.2730184147318</v>
      </c>
      <c r="I16" s="21"/>
      <c r="J16" s="21"/>
      <c r="K16" s="24" t="n">
        <f aca="false">MIN(K5:K14)</f>
        <v>77.2</v>
      </c>
      <c r="L16" s="21"/>
    </row>
    <row r="17" customFormat="false" ht="19.5" hidden="false" customHeight="true" outlineLevel="0" collapsed="false">
      <c r="A17" s="19" t="s">
        <v>27</v>
      </c>
      <c r="B17" s="20" t="n">
        <f aca="false">MAX(B5:B14)</f>
        <v>700.01</v>
      </c>
      <c r="C17" s="20" t="n">
        <f aca="false">MAX(C5:C14)</f>
        <v>728.42</v>
      </c>
      <c r="D17" s="21"/>
      <c r="E17" s="22" t="n">
        <f aca="false">MAX(E5:E14)</f>
        <v>12720</v>
      </c>
      <c r="F17" s="22" t="n">
        <f aca="false">MAX(F5:F14)</f>
        <v>1260000</v>
      </c>
      <c r="G17" s="21"/>
      <c r="H17" s="23" t="n">
        <f aca="false">MAX(H5:H14)</f>
        <v>105.584642233857</v>
      </c>
      <c r="I17" s="21"/>
      <c r="J17" s="21"/>
      <c r="K17" s="24" t="n">
        <f aca="false">MAX(K5:K14)</f>
        <v>100.4</v>
      </c>
      <c r="L17" s="21"/>
    </row>
    <row r="19" customFormat="false" ht="55.5" hidden="false" customHeight="true" outlineLevel="0" collapsed="false">
      <c r="A19" s="25" t="s">
        <v>28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</sheetData>
  <mergeCells count="3">
    <mergeCell ref="A1:L1"/>
    <mergeCell ref="A2:L2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2026-06-05T19:52:19Z</dcterms:created>
  <dc:creator>openpyxl</dc:creator>
  <dc:description/>
  <dc:language>en-US</dc:language>
  <cp:lastModifiedBy/>
  <dcterms:modified xsi:type="dcterms:W3CDTF">2026-06-05T19:52:19Z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